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ig/Documents/PhD Y1/Stats II/Quant II Projects/HW9/"/>
    </mc:Choice>
  </mc:AlternateContent>
  <xr:revisionPtr revIDLastSave="0" documentId="13_ncr:1_{61826FD6-964B-B74C-A057-39DBA62459B8}" xr6:coauthVersionLast="47" xr6:coauthVersionMax="47" xr10:uidLastSave="{00000000-0000-0000-0000-000000000000}"/>
  <bookViews>
    <workbookView xWindow="1160" yWindow="500" windowWidth="27640" windowHeight="16040" xr2:uid="{C0996B5F-21C7-9B4B-99AB-F21C606EB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H4" i="1" s="1"/>
  <c r="A3" i="1"/>
  <c r="H3" i="1" s="1"/>
  <c r="A2" i="1"/>
  <c r="H2" i="1" s="1"/>
  <c r="C2" i="1" l="1"/>
  <c r="C4" i="1"/>
  <c r="C3" i="1"/>
  <c r="D2" i="1"/>
  <c r="D3" i="1"/>
  <c r="D4" i="1"/>
  <c r="I4" i="1" s="1"/>
  <c r="E4" i="1"/>
  <c r="E2" i="1"/>
  <c r="E3" i="1"/>
  <c r="F2" i="1"/>
  <c r="F3" i="1"/>
  <c r="F4" i="1"/>
  <c r="G4" i="1"/>
  <c r="G2" i="1"/>
  <c r="G3" i="1"/>
  <c r="I2" i="1" l="1"/>
  <c r="I3" i="1"/>
</calcChain>
</file>

<file path=xl/sharedStrings.xml><?xml version="1.0" encoding="utf-8"?>
<sst xmlns="http://schemas.openxmlformats.org/spreadsheetml/2006/main" count="18" uniqueCount="18">
  <si>
    <t>HRS:</t>
  </si>
  <si>
    <t>Simple Slope Formula</t>
  </si>
  <si>
    <t>Simple Slope Deltay/deltax</t>
  </si>
  <si>
    <t>(Constant)</t>
  </si>
  <si>
    <t>b0</t>
  </si>
  <si>
    <t>Mean</t>
  </si>
  <si>
    <t>Std. Deviation</t>
  </si>
  <si>
    <t>b1</t>
  </si>
  <si>
    <t>b2</t>
  </si>
  <si>
    <t>b3</t>
  </si>
  <si>
    <t>$B$10+$B$11*C$1+$B$12*$A2+$B$13*C$1*$A2</t>
  </si>
  <si>
    <t>hrs</t>
  </si>
  <si>
    <t>advisorSupport</t>
  </si>
  <si>
    <t>hrsXadvisorSupport</t>
  </si>
  <si>
    <t>Advisor Support Moderator</t>
  </si>
  <si>
    <t>Low Advisor Support (-1SD)</t>
  </si>
  <si>
    <t>Mean Advisor Support</t>
  </si>
  <si>
    <t>High Advisor Support (+1 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</si>
</sst>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</a:t>
            </a:r>
            <a:r>
              <a:rPr lang="en-US" baseline="0"/>
              <a:t> x Advisor Support Predict Academic Motivation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Low Advisor Support (-1SD)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Sheet1!$C$2:$G$2</c:f>
              <c:numCache>
                <c:formatCode>General</c:formatCode>
                <c:ptCount val="5"/>
                <c:pt idx="0">
                  <c:v>5.2664130399519999</c:v>
                </c:pt>
                <c:pt idx="1">
                  <c:v>5.155263715856</c:v>
                </c:pt>
                <c:pt idx="2">
                  <c:v>5.0441143917599991</c:v>
                </c:pt>
                <c:pt idx="3">
                  <c:v>4.9329650676639991</c:v>
                </c:pt>
                <c:pt idx="4">
                  <c:v>4.8218157435679991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A-0346-A279-E20392BF3A65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Mean Advisor Support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Sheet1!$C$3:$G$3</c:f>
              <c:numCache>
                <c:formatCode>General</c:formatCode>
                <c:ptCount val="5"/>
                <c:pt idx="0">
                  <c:v>3.2031294879999996</c:v>
                </c:pt>
                <c:pt idx="1">
                  <c:v>3.144474464</c:v>
                </c:pt>
                <c:pt idx="2">
                  <c:v>3.0858194399999999</c:v>
                </c:pt>
                <c:pt idx="3">
                  <c:v>3.0271644159999997</c:v>
                </c:pt>
                <c:pt idx="4">
                  <c:v>2.9685093919999996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A-0346-A279-E20392BF3A65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High Advisor Support (+1 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Sheet1!$C$4:$G$4</c:f>
              <c:numCache>
                <c:formatCode>General</c:formatCode>
                <c:ptCount val="5"/>
                <c:pt idx="0">
                  <c:v>1.1398459360479998</c:v>
                </c:pt>
                <c:pt idx="1">
                  <c:v>1.1336852121440002</c:v>
                </c:pt>
                <c:pt idx="2">
                  <c:v>1.1275244882400002</c:v>
                </c:pt>
                <c:pt idx="3">
                  <c:v>1.1213637643359999</c:v>
                </c:pt>
                <c:pt idx="4">
                  <c:v>1.1152030404319997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A-0346-A279-E20392BF3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056527"/>
        <c:axId val="572303743"/>
      </c:lineChart>
      <c:catAx>
        <c:axId val="5020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03743"/>
        <c:crosses val="autoZero"/>
        <c:auto val="1"/>
        <c:lblAlgn val="ctr"/>
        <c:lblOffset val="100"/>
        <c:noMultiLvlLbl val="0"/>
      </c:catAx>
      <c:valAx>
        <c:axId val="5723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5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8</xdr:row>
      <xdr:rowOff>114300</xdr:rowOff>
    </xdr:from>
    <xdr:to>
      <xdr:col>15</xdr:col>
      <xdr:colOff>177800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AF75C-3724-7138-ECA4-34F334C79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E73F-B6EC-124B-B669-53CF9068C393}">
  <dimension ref="A1:I15"/>
  <sheetViews>
    <sheetView tabSelected="1" workbookViewId="0">
      <selection activeCell="C28" sqref="C28"/>
    </sheetView>
  </sheetViews>
  <sheetFormatPr baseColWidth="10" defaultRowHeight="16" x14ac:dyDescent="0.2"/>
  <cols>
    <col min="1" max="1" width="25.1640625" customWidth="1"/>
    <col min="2" max="2" width="23.33203125" customWidth="1"/>
    <col min="8" max="8" width="19" customWidth="1"/>
  </cols>
  <sheetData>
    <row r="1" spans="1:9" x14ac:dyDescent="0.2">
      <c r="A1" t="s">
        <v>0</v>
      </c>
      <c r="C1">
        <v>1</v>
      </c>
      <c r="D1">
        <v>2</v>
      </c>
      <c r="E1">
        <v>3</v>
      </c>
      <c r="F1">
        <v>4</v>
      </c>
      <c r="G1">
        <v>5</v>
      </c>
      <c r="H1" t="s">
        <v>1</v>
      </c>
      <c r="I1" t="s">
        <v>2</v>
      </c>
    </row>
    <row r="2" spans="1:9" x14ac:dyDescent="0.2">
      <c r="A2">
        <f>D11-E11</f>
        <v>-1.2527519999999999</v>
      </c>
      <c r="B2" t="s">
        <v>15</v>
      </c>
      <c r="C2">
        <f>$B$10+$B$11*C$1+$B$12*$A2+$B$13*C$1*$A2</f>
        <v>5.2664130399519999</v>
      </c>
      <c r="D2">
        <f t="shared" ref="D2:G2" si="0">$B$10+$B$11*D$1+$B$12*$A2+$B$13*D$1*$A2</f>
        <v>5.155263715856</v>
      </c>
      <c r="E2">
        <f t="shared" si="0"/>
        <v>5.0441143917599991</v>
      </c>
      <c r="F2">
        <f t="shared" si="0"/>
        <v>4.9329650676639991</v>
      </c>
      <c r="G2">
        <f t="shared" si="0"/>
        <v>4.8218157435679991</v>
      </c>
      <c r="H2">
        <f>$B$11+$B$13*$A2</f>
        <v>-0.11114932409600001</v>
      </c>
      <c r="I2">
        <f>D2-C2</f>
        <v>-0.11114932409599998</v>
      </c>
    </row>
    <row r="3" spans="1:9" x14ac:dyDescent="0.2">
      <c r="A3">
        <f>D11</f>
        <v>0.312</v>
      </c>
      <c r="B3" t="s">
        <v>16</v>
      </c>
      <c r="C3">
        <f t="shared" ref="C3:G4" si="1">$B$10+$B$11*C$1+$B$12*$A3+$B$13*C$1*$A3</f>
        <v>3.2031294879999996</v>
      </c>
      <c r="D3">
        <f t="shared" si="1"/>
        <v>3.144474464</v>
      </c>
      <c r="E3">
        <f t="shared" si="1"/>
        <v>3.0858194399999999</v>
      </c>
      <c r="F3">
        <f t="shared" si="1"/>
        <v>3.0271644159999997</v>
      </c>
      <c r="G3">
        <f t="shared" si="1"/>
        <v>2.9685093919999996</v>
      </c>
      <c r="H3">
        <f t="shared" ref="H3:H4" si="2">$B$11+$B$13*$A3</f>
        <v>-5.8655024E-2</v>
      </c>
      <c r="I3">
        <f t="shared" ref="I3:I4" si="3">D3-C3</f>
        <v>-5.8655023999999667E-2</v>
      </c>
    </row>
    <row r="4" spans="1:9" x14ac:dyDescent="0.2">
      <c r="A4">
        <f>D11+E11</f>
        <v>1.876752</v>
      </c>
      <c r="B4" t="s">
        <v>17</v>
      </c>
      <c r="C4">
        <f t="shared" si="1"/>
        <v>1.1398459360479998</v>
      </c>
      <c r="D4">
        <f t="shared" si="1"/>
        <v>1.1336852121440002</v>
      </c>
      <c r="E4">
        <f t="shared" si="1"/>
        <v>1.1275244882400002</v>
      </c>
      <c r="F4">
        <f t="shared" si="1"/>
        <v>1.1213637643359999</v>
      </c>
      <c r="G4">
        <f t="shared" si="1"/>
        <v>1.1152030404319997</v>
      </c>
      <c r="H4">
        <f t="shared" si="2"/>
        <v>-6.1607239040000067E-3</v>
      </c>
      <c r="I4">
        <f t="shared" si="3"/>
        <v>-6.1607239039995765E-3</v>
      </c>
    </row>
    <row r="9" spans="1:9" x14ac:dyDescent="0.2">
      <c r="D9" t="s">
        <v>14</v>
      </c>
    </row>
    <row r="10" spans="1:9" x14ac:dyDescent="0.2">
      <c r="A10" s="1" t="s">
        <v>3</v>
      </c>
      <c r="B10" s="2">
        <v>3.6836549999999999</v>
      </c>
      <c r="C10" t="s">
        <v>4</v>
      </c>
      <c r="D10" s="1" t="s">
        <v>5</v>
      </c>
      <c r="E10" s="1" t="s">
        <v>6</v>
      </c>
    </row>
    <row r="11" spans="1:9" x14ac:dyDescent="0.2">
      <c r="A11" s="1" t="s">
        <v>11</v>
      </c>
      <c r="B11" s="2">
        <v>-6.9122000000000003E-2</v>
      </c>
      <c r="C11" t="s">
        <v>7</v>
      </c>
      <c r="D11" s="2">
        <v>0.312</v>
      </c>
      <c r="E11" s="2">
        <v>1.5647519999999999</v>
      </c>
    </row>
    <row r="12" spans="1:9" x14ac:dyDescent="0.2">
      <c r="A12" s="1" t="s">
        <v>12</v>
      </c>
      <c r="B12" s="2">
        <v>-1.352149</v>
      </c>
      <c r="C12" t="s">
        <v>8</v>
      </c>
    </row>
    <row r="13" spans="1:9" x14ac:dyDescent="0.2">
      <c r="A13" s="1" t="s">
        <v>13</v>
      </c>
      <c r="B13" s="2">
        <v>3.3548000000000001E-2</v>
      </c>
      <c r="C13" t="s">
        <v>9</v>
      </c>
    </row>
    <row r="15" spans="1:9" x14ac:dyDescent="0.2">
      <c r="A15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 Gonzalez</dc:creator>
  <cp:lastModifiedBy>Debi Gonzalez</cp:lastModifiedBy>
  <dcterms:created xsi:type="dcterms:W3CDTF">2026-03-27T17:15:37Z</dcterms:created>
  <dcterms:modified xsi:type="dcterms:W3CDTF">2026-03-31T23:46:55Z</dcterms:modified>
</cp:coreProperties>
</file>