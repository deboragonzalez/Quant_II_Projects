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ig/Downloads/"/>
    </mc:Choice>
  </mc:AlternateContent>
  <xr:revisionPtr revIDLastSave="0" documentId="13_ncr:1_{95DB8A81-8479-4E4E-9588-4C7E03E3B42E}" xr6:coauthVersionLast="47" xr6:coauthVersionMax="47" xr10:uidLastSave="{00000000-0000-0000-0000-000000000000}"/>
  <bookViews>
    <workbookView xWindow="760" yWindow="500" windowWidth="28040" windowHeight="16300" activeTab="1" xr2:uid="{3C94F751-2A5A-0F4D-A74F-D7D7B401931D}"/>
  </bookViews>
  <sheets>
    <sheet name="Interaction Plot 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A25" i="1"/>
  <c r="A24" i="1"/>
  <c r="A23" i="1"/>
  <c r="D3" i="1"/>
  <c r="E3" i="1"/>
  <c r="D4" i="1"/>
  <c r="E4" i="1"/>
  <c r="D5" i="1"/>
  <c r="E5" i="1"/>
  <c r="C4" i="1"/>
  <c r="C5" i="1"/>
  <c r="C3" i="1"/>
</calcChain>
</file>

<file path=xl/sharedStrings.xml><?xml version="1.0" encoding="utf-8"?>
<sst xmlns="http://schemas.openxmlformats.org/spreadsheetml/2006/main" count="26" uniqueCount="25">
  <si>
    <t>Risk Averse</t>
  </si>
  <si>
    <t>Risk Neutral</t>
  </si>
  <si>
    <t>Risk Seeking</t>
  </si>
  <si>
    <t>Mean Peer Norms</t>
  </si>
  <si>
    <t>Low Peer Norms (-1 SD)</t>
  </si>
  <si>
    <t>High Peer Norms (+1 SD)</t>
  </si>
  <si>
    <t>Estimate</t>
  </si>
  <si>
    <t>(Intercept)</t>
  </si>
  <si>
    <t>risk</t>
  </si>
  <si>
    <t>peerNorms</t>
  </si>
  <si>
    <t>risk:peerNorms</t>
  </si>
  <si>
    <t>Coefficients:</t>
  </si>
  <si>
    <t xml:space="preserve">                         Estimate Std. Error t value Pr(&gt;|t|)    </t>
  </si>
  <si>
    <t>hrsperday</t>
  </si>
  <si>
    <t>onlineConflict</t>
  </si>
  <si>
    <t>hrsperday:onlineConflict</t>
  </si>
  <si>
    <t>Online Conflict Moderator</t>
  </si>
  <si>
    <t>Mean</t>
  </si>
  <si>
    <t>SD</t>
  </si>
  <si>
    <t>HRS</t>
  </si>
  <si>
    <t>Low Online Conflict (-1SD)</t>
  </si>
  <si>
    <t>Mean Online Conflict</t>
  </si>
  <si>
    <t>High Online Conflict (+1SD)</t>
  </si>
  <si>
    <t>Doing it on my own</t>
  </si>
  <si>
    <t>In-Class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</si>
</sst>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Risk</a:t>
            </a:r>
            <a:r>
              <a:rPr lang="en-US" baseline="0"/>
              <a:t> and Peer Norms Interact to Predict Smoking Attitudes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Low Peer Norms (-1 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Sheet1!$C$2:$E$2</c:f>
              <c:strCache>
                <c:ptCount val="3"/>
                <c:pt idx="0">
                  <c:v>Risk Averse</c:v>
                </c:pt>
                <c:pt idx="1">
                  <c:v>Risk Neutral</c:v>
                </c:pt>
                <c:pt idx="2">
                  <c:v>Risk Seeking</c:v>
                </c:pt>
              </c:strCache>
            </c:strRef>
          </c:cat>
          <c:val>
            <c:numRef>
              <c:f>Sheet1!$C$3:$E$3</c:f>
              <c:numCache>
                <c:formatCode>General</c:formatCode>
                <c:ptCount val="3"/>
                <c:pt idx="0">
                  <c:v>-0.45773786599999999</c:v>
                </c:pt>
                <c:pt idx="1">
                  <c:v>-0.65497231099999986</c:v>
                </c:pt>
                <c:pt idx="2">
                  <c:v>-0.85220675600000018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E4-4C42-851F-690B86CA8FE1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Mean Peer Norms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Sheet1!$C$2:$E$2</c:f>
              <c:strCache>
                <c:ptCount val="3"/>
                <c:pt idx="0">
                  <c:v>Risk Averse</c:v>
                </c:pt>
                <c:pt idx="1">
                  <c:v>Risk Neutral</c:v>
                </c:pt>
                <c:pt idx="2">
                  <c:v>Risk Seeking</c:v>
                </c:pt>
              </c:strCache>
            </c:strRef>
          </c:cat>
          <c:val>
            <c:numRef>
              <c:f>Sheet1!$C$4:$E$4</c:f>
              <c:numCache>
                <c:formatCode>General</c:formatCode>
                <c:ptCount val="3"/>
                <c:pt idx="0">
                  <c:v>-0.82108099999999973</c:v>
                </c:pt>
                <c:pt idx="1">
                  <c:v>-0.28756349999999964</c:v>
                </c:pt>
                <c:pt idx="2">
                  <c:v>0.24595400000000023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E4-4C42-851F-690B86CA8FE1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High Peer Norms (+1 SD)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Sheet1!$C$2:$E$2</c:f>
              <c:strCache>
                <c:ptCount val="3"/>
                <c:pt idx="0">
                  <c:v>Risk Averse</c:v>
                </c:pt>
                <c:pt idx="1">
                  <c:v>Risk Neutral</c:v>
                </c:pt>
                <c:pt idx="2">
                  <c:v>Risk Seeking</c:v>
                </c:pt>
              </c:strCache>
            </c:strRef>
          </c:cat>
          <c:val>
            <c:numRef>
              <c:f>Sheet1!$C$5:$E$5</c:f>
              <c:numCache>
                <c:formatCode>General</c:formatCode>
                <c:ptCount val="3"/>
                <c:pt idx="0">
                  <c:v>-1.1844241339999995</c:v>
                </c:pt>
                <c:pt idx="1">
                  <c:v>7.9845311000000585E-2</c:v>
                </c:pt>
                <c:pt idx="2">
                  <c:v>1.3441147560000015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E4-4C42-851F-690B86CA8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664703"/>
        <c:axId val="196411839"/>
      </c:lineChart>
      <c:catAx>
        <c:axId val="23766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411839"/>
        <c:crosses val="autoZero"/>
        <c:auto val="1"/>
        <c:lblAlgn val="ctr"/>
        <c:lblOffset val="100"/>
        <c:noMultiLvlLbl val="0"/>
      </c:catAx>
      <c:valAx>
        <c:axId val="1964118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Smoking Attitudes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766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C4631B-948C-484A-ACBC-D59E481A006D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713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62251-CD0F-7467-DC2C-29D9BA8B60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66BA-8D99-654C-92BA-642F9131AEAD}">
  <dimension ref="A1:G25"/>
  <sheetViews>
    <sheetView tabSelected="1" topLeftCell="A14" zoomScale="228" zoomScaleNormal="220" workbookViewId="0">
      <selection activeCell="A23" sqref="A23"/>
    </sheetView>
  </sheetViews>
  <sheetFormatPr baseColWidth="10" defaultRowHeight="16" x14ac:dyDescent="0.2"/>
  <cols>
    <col min="1" max="1" width="16.33203125" customWidth="1"/>
    <col min="2" max="2" width="22.5" customWidth="1"/>
  </cols>
  <sheetData>
    <row r="1" spans="1:5" x14ac:dyDescent="0.2">
      <c r="A1" s="1" t="s">
        <v>24</v>
      </c>
      <c r="C1">
        <v>1</v>
      </c>
      <c r="D1">
        <v>2</v>
      </c>
      <c r="E1">
        <v>3</v>
      </c>
    </row>
    <row r="2" spans="1:5" x14ac:dyDescent="0.2">
      <c r="C2" t="s">
        <v>0</v>
      </c>
      <c r="D2" t="s">
        <v>1</v>
      </c>
      <c r="E2" t="s">
        <v>2</v>
      </c>
    </row>
    <row r="3" spans="1:5" x14ac:dyDescent="0.2">
      <c r="A3">
        <v>1.1025849999999999</v>
      </c>
      <c r="B3" t="s">
        <v>4</v>
      </c>
      <c r="C3">
        <f>$B$9+$B$10*C$1+$B$11*$A3+$B$12*C$1*$A3</f>
        <v>-0.45773786599999999</v>
      </c>
      <c r="D3">
        <f>$B$9+$B$10*D$1+$B$11*$A3+$B$12*D$1*$A3</f>
        <v>-0.65497231099999986</v>
      </c>
      <c r="E3">
        <f>$B$9+$B$10*E$1+$B$11*$A3+$B$12*E$1*$A3</f>
        <v>-0.85220675600000018</v>
      </c>
    </row>
    <row r="4" spans="1:5" x14ac:dyDescent="0.2">
      <c r="A4">
        <v>2.1724999999999999</v>
      </c>
      <c r="B4" t="s">
        <v>3</v>
      </c>
      <c r="C4">
        <f>$B$9+$B$10*C$1+$B$11*$A4+$B$12*C$1*$A4</f>
        <v>-0.82108099999999973</v>
      </c>
      <c r="D4">
        <f>$B$9+$B$10*D$1+$B$11*$A4+$B$12*D$1*$A4</f>
        <v>-0.28756349999999964</v>
      </c>
      <c r="E4">
        <f>$B$9+$B$10*E$1+$B$11*$A4+$B$12*E$1*$A4</f>
        <v>0.24595400000000023</v>
      </c>
    </row>
    <row r="5" spans="1:5" x14ac:dyDescent="0.2">
      <c r="A5">
        <v>3.2424149999999998</v>
      </c>
      <c r="B5" t="s">
        <v>5</v>
      </c>
      <c r="C5">
        <f>$B$9+$B$10*C$1+$B$11*$A5+$B$12*C$1*$A5</f>
        <v>-1.1844241339999995</v>
      </c>
      <c r="D5">
        <f>$B$9+$B$10*D$1+$B$11*$A5+$B$12*D$1*$A5</f>
        <v>7.9845311000000585E-2</v>
      </c>
      <c r="E5">
        <f>$B$9+$B$10*E$1+$B$11*$A5+$B$12*E$1*$A5</f>
        <v>1.3441147560000015</v>
      </c>
    </row>
    <row r="8" spans="1:5" x14ac:dyDescent="0.2">
      <c r="B8" t="s">
        <v>6</v>
      </c>
    </row>
    <row r="9" spans="1:5" x14ac:dyDescent="0.2">
      <c r="A9" t="s">
        <v>7</v>
      </c>
      <c r="B9">
        <v>0.86699999999999999</v>
      </c>
    </row>
    <row r="10" spans="1:5" x14ac:dyDescent="0.2">
      <c r="A10" t="s">
        <v>8</v>
      </c>
      <c r="B10">
        <v>-0.95030000000000003</v>
      </c>
    </row>
    <row r="11" spans="1:5" x14ac:dyDescent="0.2">
      <c r="A11" t="s">
        <v>9</v>
      </c>
      <c r="B11">
        <v>-1.0226</v>
      </c>
    </row>
    <row r="12" spans="1:5" x14ac:dyDescent="0.2">
      <c r="A12" t="s">
        <v>10</v>
      </c>
      <c r="B12">
        <v>0.68300000000000005</v>
      </c>
    </row>
    <row r="13" spans="1:5" ht="51" customHeight="1" x14ac:dyDescent="0.2">
      <c r="A13" s="1" t="s">
        <v>23</v>
      </c>
    </row>
    <row r="14" spans="1:5" x14ac:dyDescent="0.2">
      <c r="A14" t="s">
        <v>11</v>
      </c>
    </row>
    <row r="15" spans="1:5" x14ac:dyDescent="0.2">
      <c r="A15" t="s">
        <v>12</v>
      </c>
      <c r="D15" t="s">
        <v>16</v>
      </c>
    </row>
    <row r="16" spans="1:5" x14ac:dyDescent="0.2">
      <c r="A16" t="s">
        <v>7</v>
      </c>
      <c r="B16">
        <v>3.9463300000000001</v>
      </c>
      <c r="D16" t="s">
        <v>17</v>
      </c>
      <c r="E16" t="s">
        <v>18</v>
      </c>
    </row>
    <row r="17" spans="1:7" x14ac:dyDescent="0.2">
      <c r="A17" t="s">
        <v>13</v>
      </c>
      <c r="B17">
        <v>0.11463</v>
      </c>
      <c r="D17">
        <v>1.5</v>
      </c>
      <c r="E17">
        <v>1.026</v>
      </c>
    </row>
    <row r="18" spans="1:7" x14ac:dyDescent="0.2">
      <c r="A18" t="s">
        <v>14</v>
      </c>
      <c r="B18">
        <v>-4.6899999999999997E-3</v>
      </c>
    </row>
    <row r="19" spans="1:7" x14ac:dyDescent="0.2">
      <c r="A19" t="s">
        <v>15</v>
      </c>
      <c r="B19">
        <v>-0.26722000000000001</v>
      </c>
    </row>
    <row r="22" spans="1:7" x14ac:dyDescent="0.2">
      <c r="A22" t="s">
        <v>19</v>
      </c>
      <c r="C22">
        <v>1</v>
      </c>
      <c r="D22">
        <v>2</v>
      </c>
      <c r="E22">
        <v>3</v>
      </c>
      <c r="F22">
        <v>4</v>
      </c>
      <c r="G22">
        <v>5</v>
      </c>
    </row>
    <row r="23" spans="1:7" x14ac:dyDescent="0.2">
      <c r="A23">
        <f>D17-E17</f>
        <v>0.47399999999999998</v>
      </c>
      <c r="B23" t="s">
        <v>20</v>
      </c>
      <c r="C23">
        <f>$B$16+$B$17*C$22+$B$18*$A23+B19*C$22*$A23</f>
        <v>3.9320746599999992</v>
      </c>
    </row>
    <row r="24" spans="1:7" x14ac:dyDescent="0.2">
      <c r="A24">
        <f>D17</f>
        <v>1.5</v>
      </c>
      <c r="B24" t="s">
        <v>21</v>
      </c>
    </row>
    <row r="25" spans="1:7" x14ac:dyDescent="0.2">
      <c r="A25">
        <f>D17+E17</f>
        <v>2.5259999999999998</v>
      </c>
      <c r="B2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Interaction Plot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Hayes</dc:creator>
  <cp:lastModifiedBy>Debi Gonzalez</cp:lastModifiedBy>
  <dcterms:created xsi:type="dcterms:W3CDTF">2026-03-18T14:18:04Z</dcterms:created>
  <dcterms:modified xsi:type="dcterms:W3CDTF">2026-03-18T15:45:29Z</dcterms:modified>
</cp:coreProperties>
</file>