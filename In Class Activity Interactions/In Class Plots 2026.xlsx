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chartsheets/sheet2.xml" ContentType="application/vnd.openxmlformats-officedocument.spreadsheetml.chartsheet+xml"/>
  <Override PartName="/xl/worksheets/sheet2.xml" ContentType="application/vnd.openxmlformats-officedocument.spreadsheetml.worksheet+xml"/>
  <Override PartName="/xl/chartsheets/sheet3.xml" ContentType="application/vnd.openxmlformats-officedocument.spreadsheetml.chart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hayes/Dropbox/Mac Documents/Quant II Spring 2026/Week By Week 2026 Post/Topic 13 Categorical x Continuous Interactions/2. In Class Software and Plotting/"/>
    </mc:Choice>
  </mc:AlternateContent>
  <xr:revisionPtr revIDLastSave="0" documentId="13_ncr:1_{5EEC1A4E-6E54-AE43-9FE9-1CA66848D97D}" xr6:coauthVersionLast="47" xr6:coauthVersionMax="47" xr10:uidLastSave="{00000000-0000-0000-0000-000000000000}"/>
  <bookViews>
    <workbookView xWindow="0" yWindow="600" windowWidth="28800" windowHeight="16500" xr2:uid="{EBD92222-ECBA-4F48-A056-1B47127FFE37}"/>
  </bookViews>
  <sheets>
    <sheet name="Three Group Plot V2" sheetId="6" r:id="rId1"/>
    <sheet name="Three Group Data V2" sheetId="5" r:id="rId2"/>
    <sheet name="Two Group Plot" sheetId="2" r:id="rId3"/>
    <sheet name="Two Group Data" sheetId="1" r:id="rId4"/>
    <sheet name="3 Group Plot V1" sheetId="4" r:id="rId5"/>
    <sheet name="Three Group Data" sheetId="3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5" l="1"/>
  <c r="E4" i="5"/>
  <c r="D5" i="5"/>
  <c r="E5" i="5"/>
  <c r="D6" i="5"/>
  <c r="E6" i="5"/>
  <c r="C4" i="5"/>
  <c r="C6" i="5"/>
  <c r="C5" i="5"/>
  <c r="D4" i="3"/>
  <c r="E4" i="3"/>
  <c r="D5" i="3"/>
  <c r="E5" i="3"/>
  <c r="D6" i="3"/>
  <c r="E6" i="3"/>
  <c r="C5" i="3"/>
  <c r="C6" i="3"/>
  <c r="C4" i="3"/>
  <c r="E3" i="1"/>
  <c r="E4" i="1"/>
  <c r="E5" i="1"/>
  <c r="D4" i="1"/>
  <c r="D5" i="1"/>
  <c r="D3" i="1"/>
</calcChain>
</file>

<file path=xl/sharedStrings.xml><?xml version="1.0" encoding="utf-8"?>
<sst xmlns="http://schemas.openxmlformats.org/spreadsheetml/2006/main" count="40" uniqueCount="17">
  <si>
    <t>Estimate</t>
  </si>
  <si>
    <t>(Intercept)</t>
  </si>
  <si>
    <t>CBTDummy</t>
  </si>
  <si>
    <t>NeedCog</t>
  </si>
  <si>
    <t>CBTDummy:NeedCog</t>
  </si>
  <si>
    <t>Info-Only</t>
  </si>
  <si>
    <t>CBT</t>
  </si>
  <si>
    <t>Low Need Cog (-1SD)</t>
  </si>
  <si>
    <t>Mean Need Cog</t>
  </si>
  <si>
    <t>High Need Cog (+1SD)</t>
  </si>
  <si>
    <t>MindfulnessDummy</t>
  </si>
  <si>
    <t>MindfulnessDummy:NeedCog</t>
  </si>
  <si>
    <t>Low Need Cog</t>
  </si>
  <si>
    <t>High Need Cog</t>
  </si>
  <si>
    <t>Mindfulness</t>
  </si>
  <si>
    <t>CBT Dummy</t>
  </si>
  <si>
    <t>Mindfulness Dummy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</si>
</sst>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2.xml"/><Relationship Id="rId7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3.xml"/><Relationship Id="rId5" Type="http://schemas.openxmlformats.org/officeDocument/2006/relationships/chartsheet" Target="chartsheets/sheet3.xml"/><Relationship Id="rId10" Type="http://schemas.openxmlformats.org/officeDocument/2006/relationships/calcChain" Target="calcChain.xml"/><Relationship Id="rId4" Type="http://schemas.openxmlformats.org/officeDocument/2006/relationships/worksheet" Target="worksheets/sheet2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'Three Group Data V2'!$B$4</c:f>
              <c:strCache>
                <c:ptCount val="1"/>
                <c:pt idx="0">
                  <c:v>Low Need Cog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'Three Group Data V2'!$C$3:$E$3</c:f>
              <c:strCache>
                <c:ptCount val="3"/>
                <c:pt idx="0">
                  <c:v>CBT</c:v>
                </c:pt>
                <c:pt idx="1">
                  <c:v>Info-Only</c:v>
                </c:pt>
                <c:pt idx="2">
                  <c:v>Mindfulness</c:v>
                </c:pt>
              </c:strCache>
            </c:strRef>
          </c:cat>
          <c:val>
            <c:numRef>
              <c:f>'Three Group Data V2'!$C$4:$E$4</c:f>
              <c:numCache>
                <c:formatCode>General</c:formatCode>
                <c:ptCount val="3"/>
                <c:pt idx="0">
                  <c:v>9.831908919</c:v>
                </c:pt>
                <c:pt idx="1">
                  <c:v>20.333674246999998</c:v>
                </c:pt>
                <c:pt idx="2">
                  <c:v>13.701841849000004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9E-9C4E-94F8-DB889B1D2BBA}"/>
            </c:ext>
          </c:extLst>
        </c:ser>
        <c:ser>
          <c:idx val="1"/>
          <c:order val="1"/>
          <c:tx>
            <c:strRef>
              <c:f>'Three Group Data V2'!$B$5</c:f>
              <c:strCache>
                <c:ptCount val="1"/>
                <c:pt idx="0">
                  <c:v>Mean Need Cog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'Three Group Data V2'!$C$3:$E$3</c:f>
              <c:strCache>
                <c:ptCount val="3"/>
                <c:pt idx="0">
                  <c:v>CBT</c:v>
                </c:pt>
                <c:pt idx="1">
                  <c:v>Info-Only</c:v>
                </c:pt>
                <c:pt idx="2">
                  <c:v>Mindfulness</c:v>
                </c:pt>
              </c:strCache>
            </c:strRef>
          </c:cat>
          <c:val>
            <c:numRef>
              <c:f>'Three Group Data V2'!$C$5:$E$5</c:f>
              <c:numCache>
                <c:formatCode>General</c:formatCode>
                <c:ptCount val="3"/>
                <c:pt idx="0">
                  <c:v>11.327886373999998</c:v>
                </c:pt>
                <c:pt idx="1">
                  <c:v>25.751774661999999</c:v>
                </c:pt>
                <c:pt idx="2">
                  <c:v>13.743468153999999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9E-9C4E-94F8-DB889B1D2BBA}"/>
            </c:ext>
          </c:extLst>
        </c:ser>
        <c:ser>
          <c:idx val="2"/>
          <c:order val="2"/>
          <c:tx>
            <c:strRef>
              <c:f>'Three Group Data V2'!$B$6</c:f>
              <c:strCache>
                <c:ptCount val="1"/>
                <c:pt idx="0">
                  <c:v>High Need Cog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'Three Group Data V2'!$C$3:$E$3</c:f>
              <c:strCache>
                <c:ptCount val="3"/>
                <c:pt idx="0">
                  <c:v>CBT</c:v>
                </c:pt>
                <c:pt idx="1">
                  <c:v>Info-Only</c:v>
                </c:pt>
                <c:pt idx="2">
                  <c:v>Mindfulness</c:v>
                </c:pt>
              </c:strCache>
            </c:strRef>
          </c:cat>
          <c:val>
            <c:numRef>
              <c:f>'Three Group Data V2'!$C$6:$E$6</c:f>
              <c:numCache>
                <c:formatCode>General</c:formatCode>
                <c:ptCount val="3"/>
                <c:pt idx="0">
                  <c:v>12.823863829</c:v>
                </c:pt>
                <c:pt idx="1">
                  <c:v>31.169875077</c:v>
                </c:pt>
                <c:pt idx="2">
                  <c:v>13.785094459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9E-9C4E-94F8-DB889B1D2B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8939391"/>
        <c:axId val="1587459647"/>
      </c:lineChart>
      <c:catAx>
        <c:axId val="1558939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87459647"/>
        <c:crosses val="autoZero"/>
        <c:auto val="1"/>
        <c:lblAlgn val="ctr"/>
        <c:lblOffset val="100"/>
        <c:noMultiLvlLbl val="0"/>
      </c:catAx>
      <c:valAx>
        <c:axId val="158745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89393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'Two Group Data'!$C$3</c:f>
              <c:strCache>
                <c:ptCount val="1"/>
                <c:pt idx="0">
                  <c:v>Low Need Cog (-1SD)</c:v>
                </c:pt>
              </c:strCache>
            </c:strRef>
          </c:tx>
          <c:spPr>
            <a:ln w="28575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'Two Group Data'!$D$2:$E$2</c:f>
              <c:strCache>
                <c:ptCount val="2"/>
                <c:pt idx="0">
                  <c:v>Info-Only</c:v>
                </c:pt>
                <c:pt idx="1">
                  <c:v>CBT</c:v>
                </c:pt>
              </c:strCache>
            </c:strRef>
          </c:cat>
          <c:val>
            <c:numRef>
              <c:f>'Two Group Data'!$D$3:$E$3</c:f>
              <c:numCache>
                <c:formatCode>General</c:formatCode>
                <c:ptCount val="2"/>
                <c:pt idx="0">
                  <c:v>20.417923359999996</c:v>
                </c:pt>
                <c:pt idx="1">
                  <c:v>9.8551707199999967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62-C54D-9760-5E3C4A51E621}"/>
            </c:ext>
          </c:extLst>
        </c:ser>
        <c:ser>
          <c:idx val="1"/>
          <c:order val="1"/>
          <c:tx>
            <c:strRef>
              <c:f>'Two Group Data'!$C$4</c:f>
              <c:strCache>
                <c:ptCount val="1"/>
                <c:pt idx="0">
                  <c:v>Mean Need Cog</c:v>
                </c:pt>
              </c:strCache>
            </c:strRef>
          </c:tx>
          <c:spPr>
            <a:ln w="28575" cap="rnd">
              <a:solidFill>
                <a:schemeClr val="accent2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'Two Group Data'!$D$2:$E$2</c:f>
              <c:strCache>
                <c:ptCount val="2"/>
                <c:pt idx="0">
                  <c:v>Info-Only</c:v>
                </c:pt>
                <c:pt idx="1">
                  <c:v>CBT</c:v>
                </c:pt>
              </c:strCache>
            </c:strRef>
          </c:cat>
          <c:val>
            <c:numRef>
              <c:f>'Two Group Data'!$D$4:$E$4</c:f>
              <c:numCache>
                <c:formatCode>General</c:formatCode>
                <c:ptCount val="2"/>
                <c:pt idx="0">
                  <c:v>25.796234492999996</c:v>
                </c:pt>
                <c:pt idx="1">
                  <c:v>11.340162061000001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62-C54D-9760-5E3C4A51E621}"/>
            </c:ext>
          </c:extLst>
        </c:ser>
        <c:ser>
          <c:idx val="2"/>
          <c:order val="2"/>
          <c:tx>
            <c:strRef>
              <c:f>'Two Group Data'!$C$5</c:f>
              <c:strCache>
                <c:ptCount val="1"/>
                <c:pt idx="0">
                  <c:v>High Need Cog (+1SD)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'Two Group Data'!$D$2:$E$2</c:f>
              <c:strCache>
                <c:ptCount val="2"/>
                <c:pt idx="0">
                  <c:v>Info-Only</c:v>
                </c:pt>
                <c:pt idx="1">
                  <c:v>CBT</c:v>
                </c:pt>
              </c:strCache>
            </c:strRef>
          </c:cat>
          <c:val>
            <c:numRef>
              <c:f>'Two Group Data'!$D$5:$E$5</c:f>
              <c:numCache>
                <c:formatCode>General</c:formatCode>
                <c:ptCount val="2"/>
                <c:pt idx="0">
                  <c:v>31.174545625999997</c:v>
                </c:pt>
                <c:pt idx="1">
                  <c:v>12.825153401999994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62-C54D-9760-5E3C4A51E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620287"/>
        <c:axId val="1683622079"/>
      </c:lineChart>
      <c:catAx>
        <c:axId val="1683620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3622079"/>
        <c:crosses val="autoZero"/>
        <c:auto val="1"/>
        <c:lblAlgn val="ctr"/>
        <c:lblOffset val="100"/>
        <c:noMultiLvlLbl val="0"/>
      </c:catAx>
      <c:valAx>
        <c:axId val="168362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2400"/>
                  <a:t>Depression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6836202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'Three Group Data'!$B$4</c:f>
              <c:strCache>
                <c:ptCount val="1"/>
                <c:pt idx="0">
                  <c:v>Low Need Cog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'Three Group Data'!$C$3:$E$3</c:f>
              <c:strCache>
                <c:ptCount val="3"/>
                <c:pt idx="0">
                  <c:v>Info-Only</c:v>
                </c:pt>
                <c:pt idx="1">
                  <c:v>CBT</c:v>
                </c:pt>
                <c:pt idx="2">
                  <c:v>Mindfulness</c:v>
                </c:pt>
              </c:strCache>
            </c:strRef>
          </c:cat>
          <c:val>
            <c:numRef>
              <c:f>'Three Group Data'!$C$4:$E$4</c:f>
              <c:numCache>
                <c:formatCode>General</c:formatCode>
                <c:ptCount val="3"/>
                <c:pt idx="0">
                  <c:v>20.333674246999998</c:v>
                </c:pt>
                <c:pt idx="1">
                  <c:v>9.831908919</c:v>
                </c:pt>
                <c:pt idx="2">
                  <c:v>13.701841849000004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C9B-6F4D-9047-09229D974382}"/>
            </c:ext>
          </c:extLst>
        </c:ser>
        <c:ser>
          <c:idx val="1"/>
          <c:order val="1"/>
          <c:tx>
            <c:strRef>
              <c:f>'Three Group Data'!$B$5</c:f>
              <c:strCache>
                <c:ptCount val="1"/>
                <c:pt idx="0">
                  <c:v>Mean Need Cog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'Three Group Data'!$C$3:$E$3</c:f>
              <c:strCache>
                <c:ptCount val="3"/>
                <c:pt idx="0">
                  <c:v>Info-Only</c:v>
                </c:pt>
                <c:pt idx="1">
                  <c:v>CBT</c:v>
                </c:pt>
                <c:pt idx="2">
                  <c:v>Mindfulness</c:v>
                </c:pt>
              </c:strCache>
            </c:strRef>
          </c:cat>
          <c:val>
            <c:numRef>
              <c:f>'Three Group Data'!$C$5:$E$5</c:f>
              <c:numCache>
                <c:formatCode>General</c:formatCode>
                <c:ptCount val="3"/>
                <c:pt idx="0">
                  <c:v>25.751774661999999</c:v>
                </c:pt>
                <c:pt idx="1">
                  <c:v>11.327886373999998</c:v>
                </c:pt>
                <c:pt idx="2">
                  <c:v>13.743468153999999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C9B-6F4D-9047-09229D974382}"/>
            </c:ext>
          </c:extLst>
        </c:ser>
        <c:ser>
          <c:idx val="2"/>
          <c:order val="2"/>
          <c:tx>
            <c:strRef>
              <c:f>'Three Group Data'!$B$6</c:f>
              <c:strCache>
                <c:ptCount val="1"/>
                <c:pt idx="0">
                  <c:v>High Need Cog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'Three Group Data'!$C$3:$E$3</c:f>
              <c:strCache>
                <c:ptCount val="3"/>
                <c:pt idx="0">
                  <c:v>Info-Only</c:v>
                </c:pt>
                <c:pt idx="1">
                  <c:v>CBT</c:v>
                </c:pt>
                <c:pt idx="2">
                  <c:v>Mindfulness</c:v>
                </c:pt>
              </c:strCache>
            </c:strRef>
          </c:cat>
          <c:val>
            <c:numRef>
              <c:f>'Three Group Data'!$C$6:$E$6</c:f>
              <c:numCache>
                <c:formatCode>General</c:formatCode>
                <c:ptCount val="3"/>
                <c:pt idx="0">
                  <c:v>31.169875077</c:v>
                </c:pt>
                <c:pt idx="1">
                  <c:v>12.823863829</c:v>
                </c:pt>
                <c:pt idx="2">
                  <c:v>13.785094459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C9B-6F4D-9047-09229D9743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9171455"/>
        <c:axId val="1558946111"/>
      </c:lineChart>
      <c:catAx>
        <c:axId val="1559171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8946111"/>
        <c:crosses val="autoZero"/>
        <c:auto val="1"/>
        <c:lblAlgn val="ctr"/>
        <c:lblOffset val="100"/>
        <c:noMultiLvlLbl val="0"/>
      </c:catAx>
      <c:valAx>
        <c:axId val="1558946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59171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1A2DF09-D3B5-EB4F-9D16-9A0C95773723}">
  <sheetPr/>
  <sheetViews>
    <sheetView tabSelected="1" zoomScale="115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5D20E67-2557-3E43-A07D-7CF1F3785B8F}">
  <sheetPr/>
  <sheetViews>
    <sheetView zoomScale="135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F460312-30AC-B448-8A34-6B1C37A03111}">
  <sheetPr/>
  <sheetViews>
    <sheetView zoomScale="13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83037" cy="62935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24BDB-941F-4637-A7B1-0692039B0F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71393" cy="628754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7677F6E-D6ED-7091-A893-22F36F9A48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3037" cy="629355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C26832-51B6-1B6B-3ABE-0DDE7D9A44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B66D4-C15A-E840-861D-C897F88CCB10}">
  <dimension ref="A1:E15"/>
  <sheetViews>
    <sheetView zoomScale="170" zoomScaleNormal="170" workbookViewId="0">
      <selection activeCell="B3" sqref="B3:E6"/>
    </sheetView>
  </sheetViews>
  <sheetFormatPr baseColWidth="10" defaultRowHeight="16" x14ac:dyDescent="0.2"/>
  <cols>
    <col min="1" max="1" width="30.83203125" customWidth="1"/>
    <col min="2" max="2" width="21.83203125" customWidth="1"/>
  </cols>
  <sheetData>
    <row r="1" spans="1:5" x14ac:dyDescent="0.2">
      <c r="B1" t="s">
        <v>15</v>
      </c>
      <c r="C1">
        <v>1</v>
      </c>
      <c r="D1">
        <v>0</v>
      </c>
      <c r="E1">
        <v>0</v>
      </c>
    </row>
    <row r="2" spans="1:5" x14ac:dyDescent="0.2">
      <c r="B2" t="s">
        <v>16</v>
      </c>
      <c r="C2">
        <v>0</v>
      </c>
      <c r="D2">
        <v>0</v>
      </c>
      <c r="E2">
        <v>1</v>
      </c>
    </row>
    <row r="3" spans="1:5" x14ac:dyDescent="0.2">
      <c r="C3" t="s">
        <v>6</v>
      </c>
      <c r="D3" t="s">
        <v>5</v>
      </c>
      <c r="E3" t="s">
        <v>14</v>
      </c>
    </row>
    <row r="4" spans="1:5" x14ac:dyDescent="0.2">
      <c r="A4">
        <v>2.4795289999999999</v>
      </c>
      <c r="B4" t="s">
        <v>12</v>
      </c>
      <c r="C4">
        <f>$B$10+$B$11*C$1+$B$12*C$2+$B$13*$A4+$B$14*C$1*$A4+$B$15*C$2*$A4</f>
        <v>9.831908919</v>
      </c>
      <c r="D4">
        <f t="shared" ref="D4:E4" si="0">$B$10+$B$11*D$1+$B$12*D$2+$B$13*$A4+$B$14*D$1*$A4+$B$15*D$2*$A4</f>
        <v>20.333674246999998</v>
      </c>
      <c r="E4">
        <f t="shared" si="0"/>
        <v>13.701841849000004</v>
      </c>
    </row>
    <row r="5" spans="1:5" x14ac:dyDescent="0.2">
      <c r="A5">
        <v>2.9934340000000002</v>
      </c>
      <c r="B5" t="s">
        <v>8</v>
      </c>
      <c r="C5">
        <f t="shared" ref="C5:E6" si="1">$B$10+$B$11*C$1+$B$12*C$2+$B$13*$A5+$B$14*C$1*$A5+$B$15*C$2*$A5</f>
        <v>11.327886373999998</v>
      </c>
      <c r="D5">
        <f t="shared" si="1"/>
        <v>25.751774661999999</v>
      </c>
      <c r="E5">
        <f t="shared" si="1"/>
        <v>13.743468153999999</v>
      </c>
    </row>
    <row r="6" spans="1:5" x14ac:dyDescent="0.2">
      <c r="A6">
        <v>3.507339</v>
      </c>
      <c r="B6" t="s">
        <v>13</v>
      </c>
      <c r="C6">
        <f t="shared" si="1"/>
        <v>12.823863829</v>
      </c>
      <c r="D6">
        <f t="shared" si="1"/>
        <v>31.169875077</v>
      </c>
      <c r="E6">
        <f t="shared" si="1"/>
        <v>13.785094459</v>
      </c>
    </row>
    <row r="9" spans="1:5" x14ac:dyDescent="0.2">
      <c r="B9" t="s">
        <v>0</v>
      </c>
    </row>
    <row r="10" spans="1:5" x14ac:dyDescent="0.2">
      <c r="A10" t="s">
        <v>1</v>
      </c>
      <c r="B10">
        <v>-5.8079999999999998</v>
      </c>
    </row>
    <row r="11" spans="1:5" x14ac:dyDescent="0.2">
      <c r="A11" t="s">
        <v>2</v>
      </c>
      <c r="B11">
        <v>8.4220000000000006</v>
      </c>
    </row>
    <row r="12" spans="1:5" x14ac:dyDescent="0.2">
      <c r="A12" t="s">
        <v>10</v>
      </c>
      <c r="B12">
        <v>19.309000000000001</v>
      </c>
    </row>
    <row r="13" spans="1:5" x14ac:dyDescent="0.2">
      <c r="A13" t="s">
        <v>3</v>
      </c>
      <c r="B13">
        <v>10.542999999999999</v>
      </c>
    </row>
    <row r="14" spans="1:5" x14ac:dyDescent="0.2">
      <c r="A14" t="s">
        <v>4</v>
      </c>
      <c r="B14">
        <v>-7.6319999999999997</v>
      </c>
      <c r="E14" s="1"/>
    </row>
    <row r="15" spans="1:5" x14ac:dyDescent="0.2">
      <c r="A15" t="s">
        <v>11</v>
      </c>
      <c r="B15">
        <v>-10.462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9937-343E-404C-B049-638EF52463AE}">
  <dimension ref="A1:E13"/>
  <sheetViews>
    <sheetView zoomScale="220" zoomScaleNormal="220" workbookViewId="0">
      <selection activeCell="C2" sqref="C2:E5"/>
    </sheetView>
  </sheetViews>
  <sheetFormatPr baseColWidth="10" defaultRowHeight="16" x14ac:dyDescent="0.2"/>
  <cols>
    <col min="1" max="1" width="21.33203125" customWidth="1"/>
    <col min="3" max="3" width="21.83203125" customWidth="1"/>
  </cols>
  <sheetData>
    <row r="1" spans="1:5" x14ac:dyDescent="0.2">
      <c r="D1">
        <v>0</v>
      </c>
      <c r="E1">
        <v>1</v>
      </c>
    </row>
    <row r="2" spans="1:5" x14ac:dyDescent="0.2">
      <c r="D2" t="s">
        <v>5</v>
      </c>
      <c r="E2" t="s">
        <v>6</v>
      </c>
    </row>
    <row r="3" spans="1:5" x14ac:dyDescent="0.2">
      <c r="B3">
        <v>2.48752</v>
      </c>
      <c r="C3" t="s">
        <v>7</v>
      </c>
      <c r="D3">
        <f>$B$10+$B$11*D$1+$B$12*$B3+$B$13*D$1*$B3</f>
        <v>20.417923359999996</v>
      </c>
      <c r="E3">
        <f>$B$10+$B$11*E$1+$B$12*$B3+$B$13*E$1*$B3</f>
        <v>9.8551707199999967</v>
      </c>
    </row>
    <row r="4" spans="1:5" x14ac:dyDescent="0.2">
      <c r="B4">
        <v>2.9976509999999998</v>
      </c>
      <c r="C4" t="s">
        <v>8</v>
      </c>
      <c r="D4">
        <f t="shared" ref="D4:E5" si="0">$B$10+$B$11*D$1+$B$12*$B4+$B$13*D$1*$B4</f>
        <v>25.796234492999996</v>
      </c>
      <c r="E4">
        <f t="shared" si="0"/>
        <v>11.340162061000001</v>
      </c>
    </row>
    <row r="5" spans="1:5" x14ac:dyDescent="0.2">
      <c r="B5">
        <v>3.5077820000000002</v>
      </c>
      <c r="C5" t="s">
        <v>9</v>
      </c>
      <c r="D5">
        <f t="shared" si="0"/>
        <v>31.174545625999997</v>
      </c>
      <c r="E5">
        <f t="shared" si="0"/>
        <v>12.825153401999994</v>
      </c>
    </row>
    <row r="9" spans="1:5" x14ac:dyDescent="0.2">
      <c r="B9" t="s">
        <v>0</v>
      </c>
    </row>
    <row r="10" spans="1:5" x14ac:dyDescent="0.2">
      <c r="A10" t="s">
        <v>1</v>
      </c>
      <c r="B10">
        <v>-5.8079999999999998</v>
      </c>
    </row>
    <row r="11" spans="1:5" x14ac:dyDescent="0.2">
      <c r="A11" t="s">
        <v>2</v>
      </c>
      <c r="B11">
        <v>8.4220000000000006</v>
      </c>
    </row>
    <row r="12" spans="1:5" x14ac:dyDescent="0.2">
      <c r="A12" t="s">
        <v>3</v>
      </c>
      <c r="B12">
        <v>10.542999999999999</v>
      </c>
      <c r="E12" s="1"/>
    </row>
    <row r="13" spans="1:5" x14ac:dyDescent="0.2">
      <c r="A13" t="s">
        <v>4</v>
      </c>
      <c r="B13">
        <v>-7.6319999999999997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5482-C785-1842-B6BE-864DE161DF21}">
  <dimension ref="A1:E15"/>
  <sheetViews>
    <sheetView zoomScale="170" zoomScaleNormal="170" workbookViewId="0">
      <selection activeCell="B3" sqref="B3:E6"/>
    </sheetView>
  </sheetViews>
  <sheetFormatPr baseColWidth="10" defaultRowHeight="16" x14ac:dyDescent="0.2"/>
  <cols>
    <col min="1" max="1" width="30.83203125" customWidth="1"/>
    <col min="2" max="2" width="21.83203125" customWidth="1"/>
  </cols>
  <sheetData>
    <row r="1" spans="1:5" x14ac:dyDescent="0.2">
      <c r="B1" t="s">
        <v>15</v>
      </c>
      <c r="C1">
        <v>0</v>
      </c>
      <c r="D1">
        <v>1</v>
      </c>
      <c r="E1">
        <v>0</v>
      </c>
    </row>
    <row r="2" spans="1:5" x14ac:dyDescent="0.2">
      <c r="B2" t="s">
        <v>16</v>
      </c>
      <c r="C2">
        <v>0</v>
      </c>
      <c r="D2">
        <v>0</v>
      </c>
      <c r="E2">
        <v>1</v>
      </c>
    </row>
    <row r="3" spans="1:5" x14ac:dyDescent="0.2">
      <c r="C3" t="s">
        <v>5</v>
      </c>
      <c r="D3" t="s">
        <v>6</v>
      </c>
      <c r="E3" t="s">
        <v>14</v>
      </c>
    </row>
    <row r="4" spans="1:5" x14ac:dyDescent="0.2">
      <c r="A4">
        <v>2.4795289999999999</v>
      </c>
      <c r="B4" t="s">
        <v>12</v>
      </c>
      <c r="C4">
        <f>$B$10+$B$11*C$1+$B$12*C$2+$B$13*$A4+$B$14*C$1*$A4+$B$15*C$2*$A4</f>
        <v>20.333674246999998</v>
      </c>
      <c r="D4">
        <f t="shared" ref="D4:E4" si="0">$B$10+$B$11*D$1+$B$12*D$2+$B$13*$A4+$B$14*D$1*$A4+$B$15*D$2*$A4</f>
        <v>9.831908919</v>
      </c>
      <c r="E4">
        <f t="shared" si="0"/>
        <v>13.701841849000004</v>
      </c>
    </row>
    <row r="5" spans="1:5" x14ac:dyDescent="0.2">
      <c r="A5">
        <v>2.9934340000000002</v>
      </c>
      <c r="B5" t="s">
        <v>8</v>
      </c>
      <c r="C5">
        <f t="shared" ref="C5:E6" si="1">$B$10+$B$11*C$1+$B$12*C$2+$B$13*$A5+$B$14*C$1*$A5+$B$15*C$2*$A5</f>
        <v>25.751774661999999</v>
      </c>
      <c r="D5">
        <f t="shared" si="1"/>
        <v>11.327886373999998</v>
      </c>
      <c r="E5">
        <f t="shared" si="1"/>
        <v>13.743468153999999</v>
      </c>
    </row>
    <row r="6" spans="1:5" x14ac:dyDescent="0.2">
      <c r="A6">
        <v>3.507339</v>
      </c>
      <c r="B6" t="s">
        <v>13</v>
      </c>
      <c r="C6">
        <f t="shared" si="1"/>
        <v>31.169875077</v>
      </c>
      <c r="D6">
        <f t="shared" si="1"/>
        <v>12.823863829</v>
      </c>
      <c r="E6">
        <f t="shared" si="1"/>
        <v>13.785094459</v>
      </c>
    </row>
    <row r="9" spans="1:5" x14ac:dyDescent="0.2">
      <c r="B9" t="s">
        <v>0</v>
      </c>
    </row>
    <row r="10" spans="1:5" x14ac:dyDescent="0.2">
      <c r="A10" t="s">
        <v>1</v>
      </c>
      <c r="B10">
        <v>-5.8079999999999998</v>
      </c>
    </row>
    <row r="11" spans="1:5" x14ac:dyDescent="0.2">
      <c r="A11" t="s">
        <v>2</v>
      </c>
      <c r="B11">
        <v>8.4220000000000006</v>
      </c>
    </row>
    <row r="12" spans="1:5" x14ac:dyDescent="0.2">
      <c r="A12" t="s">
        <v>10</v>
      </c>
      <c r="B12">
        <v>19.309000000000001</v>
      </c>
    </row>
    <row r="13" spans="1:5" x14ac:dyDescent="0.2">
      <c r="A13" t="s">
        <v>3</v>
      </c>
      <c r="B13">
        <v>10.542999999999999</v>
      </c>
    </row>
    <row r="14" spans="1:5" x14ac:dyDescent="0.2">
      <c r="A14" t="s">
        <v>4</v>
      </c>
      <c r="B14">
        <v>-7.6319999999999997</v>
      </c>
      <c r="E14" s="1"/>
    </row>
    <row r="15" spans="1:5" x14ac:dyDescent="0.2">
      <c r="A15" t="s">
        <v>11</v>
      </c>
      <c r="B15">
        <v>-10.462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3</vt:i4>
      </vt:variant>
    </vt:vector>
  </HeadingPairs>
  <TitlesOfParts>
    <vt:vector size="6" baseType="lpstr">
      <vt:lpstr>Three Group Data V2</vt:lpstr>
      <vt:lpstr>Two Group Data</vt:lpstr>
      <vt:lpstr>Three Group Data</vt:lpstr>
      <vt:lpstr>Three Group Plot V2</vt:lpstr>
      <vt:lpstr>Two Group Plot</vt:lpstr>
      <vt:lpstr>3 Group Plot 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Hayes</dc:creator>
  <cp:lastModifiedBy>Timothy Hayes</cp:lastModifiedBy>
  <dcterms:created xsi:type="dcterms:W3CDTF">2026-04-08T14:40:33Z</dcterms:created>
  <dcterms:modified xsi:type="dcterms:W3CDTF">2026-04-08T16:50:12Z</dcterms:modified>
</cp:coreProperties>
</file>