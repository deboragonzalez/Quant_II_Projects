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yes/Dropbox/Mac Documents/Quant II Spring 2026/Week By Week 2026 Post/Topic 10 Continuous x Continuous Interactions Part 1/3. In Class Activities/"/>
    </mc:Choice>
  </mc:AlternateContent>
  <xr:revisionPtr revIDLastSave="0" documentId="13_ncr:1_{BCF9ED1E-5E20-2B48-9AD2-5699AF5C65CD}" xr6:coauthVersionLast="47" xr6:coauthVersionMax="47" xr10:uidLastSave="{00000000-0000-0000-0000-000000000000}"/>
  <bookViews>
    <workbookView xWindow="0" yWindow="600" windowWidth="37380" windowHeight="16500" activeTab="1" xr2:uid="{35F6CC6F-FF51-D54A-A787-1F964CF41360}"/>
  </bookViews>
  <sheets>
    <sheet name="Interaction plot 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C2" i="1"/>
  <c r="I3" i="1"/>
  <c r="I4" i="1"/>
  <c r="H3" i="1"/>
  <c r="H4" i="1"/>
  <c r="D2" i="1"/>
  <c r="E2" i="1"/>
  <c r="E3" i="1"/>
  <c r="E4" i="1"/>
  <c r="F4" i="1"/>
  <c r="A2" i="1"/>
  <c r="F2" i="1" s="1"/>
  <c r="A4" i="1"/>
  <c r="G4" i="1" s="1"/>
  <c r="A3" i="1"/>
  <c r="C3" i="1" s="1"/>
  <c r="D4" i="1" l="1"/>
  <c r="F3" i="1"/>
  <c r="D3" i="1"/>
  <c r="G3" i="1"/>
  <c r="C4" i="1"/>
  <c r="G2" i="1"/>
</calcChain>
</file>

<file path=xl/sharedStrings.xml><?xml version="1.0" encoding="utf-8"?>
<sst xmlns="http://schemas.openxmlformats.org/spreadsheetml/2006/main" count="18" uniqueCount="18">
  <si>
    <t>(Constant)</t>
  </si>
  <si>
    <t>hrsperday</t>
  </si>
  <si>
    <t>onlineConflict</t>
  </si>
  <si>
    <t>hrsperdayXonlineConflict</t>
  </si>
  <si>
    <t>Online Conflict Moderator</t>
  </si>
  <si>
    <t>Mean</t>
  </si>
  <si>
    <t>Std. Deviation</t>
  </si>
  <si>
    <t>HRS:</t>
  </si>
  <si>
    <t>Mean Online Conflict</t>
  </si>
  <si>
    <t>Low Online Conflict (-1SD)</t>
  </si>
  <si>
    <t>High Online Conflict (+1 SD)</t>
  </si>
  <si>
    <t>$B$10+$B$11*C$1+$B$12*$A2+$B$13*C$1*$A2</t>
  </si>
  <si>
    <t>b0</t>
  </si>
  <si>
    <t>b1</t>
  </si>
  <si>
    <t>b2</t>
  </si>
  <si>
    <t>b3</t>
  </si>
  <si>
    <t>Simple Slope Formula</t>
  </si>
  <si>
    <t>Simple Slope Deltay/deltax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</si>
</sst>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Hours</a:t>
            </a:r>
            <a:r>
              <a:rPr lang="en-US" baseline="0"/>
              <a:t> x Conflict Predicts Social Media Attitudes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Low Online Conflict (-1SD)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Sheet1!$C$2:$G$2</c:f>
              <c:numCache>
                <c:formatCode>General</c:formatCode>
                <c:ptCount val="5"/>
                <c:pt idx="0">
                  <c:v>3.9320719999999998</c:v>
                </c:pt>
                <c:pt idx="1">
                  <c:v>3.9205140000000003</c:v>
                </c:pt>
                <c:pt idx="2">
                  <c:v>3.9089560000000003</c:v>
                </c:pt>
                <c:pt idx="3">
                  <c:v>3.8973980000000008</c:v>
                </c:pt>
                <c:pt idx="4">
                  <c:v>3.88584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B-604D-BA8C-647C902AD44D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Mean Online Conflict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Sheet1!$C$3:$G$3</c:f>
              <c:numCache>
                <c:formatCode>General</c:formatCode>
                <c:ptCount val="5"/>
                <c:pt idx="0">
                  <c:v>3.6529999999999996</c:v>
                </c:pt>
                <c:pt idx="1">
                  <c:v>3.3674999999999997</c:v>
                </c:pt>
                <c:pt idx="2">
                  <c:v>3.0819999999999999</c:v>
                </c:pt>
                <c:pt idx="3">
                  <c:v>2.7965</c:v>
                </c:pt>
                <c:pt idx="4">
                  <c:v>2.5109999999999997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B-604D-BA8C-647C902AD44D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High Online Conflict (+1 SD)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Sheet1!$C$1:$G$1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Sheet1!$C$4:$G$4</c:f>
              <c:numCache>
                <c:formatCode>General</c:formatCode>
                <c:ptCount val="5"/>
                <c:pt idx="0">
                  <c:v>3.3739280000000003</c:v>
                </c:pt>
                <c:pt idx="1">
                  <c:v>2.8144860000000005</c:v>
                </c:pt>
                <c:pt idx="2">
                  <c:v>2.2550440000000007</c:v>
                </c:pt>
                <c:pt idx="3">
                  <c:v>1.6956020000000009</c:v>
                </c:pt>
                <c:pt idx="4">
                  <c:v>1.1361600000000007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DB-604D-BA8C-647C902AD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039679"/>
        <c:axId val="226681599"/>
      </c:lineChart>
      <c:catAx>
        <c:axId val="34103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Hours Per Day On Social Media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681599"/>
        <c:crosses val="autoZero"/>
        <c:auto val="1"/>
        <c:lblAlgn val="ctr"/>
        <c:lblOffset val="100"/>
        <c:noMultiLvlLbl val="0"/>
      </c:catAx>
      <c:valAx>
        <c:axId val="2266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Attitudes</a:t>
                </a:r>
                <a:r>
                  <a:rPr lang="en-US" baseline="0"/>
                  <a:t> toward Social Media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103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08F4B5A-7588-B249-B88E-201923EBF2AA}">
  <sheetPr/>
  <sheetViews>
    <sheetView zoomScale="1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913" cy="628181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C0DF2-CD7B-AA7B-DCE9-3B18E803DA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4CDB-8D26-3043-8AFE-6A1EF09B7A31}">
  <dimension ref="A1:I15"/>
  <sheetViews>
    <sheetView tabSelected="1" zoomScale="290" zoomScaleNormal="290" workbookViewId="0">
      <selection activeCell="I3" sqref="I3"/>
    </sheetView>
  </sheetViews>
  <sheetFormatPr baseColWidth="10" defaultRowHeight="16" x14ac:dyDescent="0.2"/>
  <cols>
    <col min="1" max="1" width="25.1640625" customWidth="1"/>
    <col min="2" max="2" width="23.33203125" customWidth="1"/>
    <col min="8" max="8" width="19" customWidth="1"/>
  </cols>
  <sheetData>
    <row r="1" spans="1:9" x14ac:dyDescent="0.2">
      <c r="A1" t="s">
        <v>7</v>
      </c>
      <c r="C1">
        <v>1</v>
      </c>
      <c r="D1">
        <v>2</v>
      </c>
      <c r="E1">
        <v>3</v>
      </c>
      <c r="F1">
        <v>4</v>
      </c>
      <c r="G1">
        <v>5</v>
      </c>
      <c r="H1" t="s">
        <v>16</v>
      </c>
      <c r="I1" t="s">
        <v>17</v>
      </c>
    </row>
    <row r="2" spans="1:9" x14ac:dyDescent="0.2">
      <c r="A2">
        <f>D11-E11</f>
        <v>0.47399999999999998</v>
      </c>
      <c r="B2" t="s">
        <v>9</v>
      </c>
      <c r="C2">
        <f>$B$10+$B$11*C$1+$B$12*$A2+$B$13*C$1*$A2</f>
        <v>3.9320719999999998</v>
      </c>
      <c r="D2">
        <f t="shared" ref="D2:G2" si="0">$B$10+$B$11*D$1+$B$12*$A2+$B$13*D$1*$A2</f>
        <v>3.9205140000000003</v>
      </c>
      <c r="E2">
        <f t="shared" si="0"/>
        <v>3.9089560000000003</v>
      </c>
      <c r="F2">
        <f t="shared" si="0"/>
        <v>3.8973980000000008</v>
      </c>
      <c r="G2">
        <f t="shared" si="0"/>
        <v>3.88584</v>
      </c>
      <c r="H2">
        <f>$B$11+$B$13*$A2</f>
        <v>-1.1557999999999999E-2</v>
      </c>
      <c r="I2">
        <f>D2-C2</f>
        <v>-1.1557999999999513E-2</v>
      </c>
    </row>
    <row r="3" spans="1:9" x14ac:dyDescent="0.2">
      <c r="A3">
        <f>D11</f>
        <v>1.5</v>
      </c>
      <c r="B3" t="s">
        <v>8</v>
      </c>
      <c r="C3">
        <f t="shared" ref="C3:G4" si="1">$B$10+$B$11*C$1+$B$12*$A3+$B$13*C$1*$A3</f>
        <v>3.6529999999999996</v>
      </c>
      <c r="D3">
        <f t="shared" si="1"/>
        <v>3.3674999999999997</v>
      </c>
      <c r="E3">
        <f t="shared" si="1"/>
        <v>3.0819999999999999</v>
      </c>
      <c r="F3">
        <f t="shared" si="1"/>
        <v>2.7965</v>
      </c>
      <c r="G3">
        <f t="shared" si="1"/>
        <v>2.5109999999999997</v>
      </c>
      <c r="H3">
        <f t="shared" ref="H3:H4" si="2">$B$11+$B$13*$A3</f>
        <v>-0.28550000000000003</v>
      </c>
      <c r="I3">
        <f t="shared" ref="I3:I4" si="3">D3-C3</f>
        <v>-0.28549999999999986</v>
      </c>
    </row>
    <row r="4" spans="1:9" x14ac:dyDescent="0.2">
      <c r="A4">
        <f>D11+E11</f>
        <v>2.5259999999999998</v>
      </c>
      <c r="B4" t="s">
        <v>10</v>
      </c>
      <c r="C4">
        <f t="shared" si="1"/>
        <v>3.3739280000000003</v>
      </c>
      <c r="D4">
        <f t="shared" si="1"/>
        <v>2.8144860000000005</v>
      </c>
      <c r="E4">
        <f t="shared" si="1"/>
        <v>2.2550440000000007</v>
      </c>
      <c r="F4">
        <f t="shared" si="1"/>
        <v>1.6956020000000009</v>
      </c>
      <c r="G4">
        <f t="shared" si="1"/>
        <v>1.1361600000000007</v>
      </c>
      <c r="H4">
        <f t="shared" si="2"/>
        <v>-0.55944199999999999</v>
      </c>
      <c r="I4">
        <f t="shared" si="3"/>
        <v>-0.55944199999999977</v>
      </c>
    </row>
    <row r="9" spans="1:9" x14ac:dyDescent="0.2">
      <c r="D9" t="s">
        <v>4</v>
      </c>
    </row>
    <row r="10" spans="1:9" x14ac:dyDescent="0.2">
      <c r="A10" s="1" t="s">
        <v>0</v>
      </c>
      <c r="B10" s="2">
        <v>3.9460000000000002</v>
      </c>
      <c r="C10" t="s">
        <v>12</v>
      </c>
      <c r="D10" s="1" t="s">
        <v>5</v>
      </c>
      <c r="E10" s="1" t="s">
        <v>6</v>
      </c>
    </row>
    <row r="11" spans="1:9" x14ac:dyDescent="0.2">
      <c r="A11" s="1" t="s">
        <v>1</v>
      </c>
      <c r="B11" s="2">
        <v>0.115</v>
      </c>
      <c r="C11" t="s">
        <v>13</v>
      </c>
      <c r="D11" s="2">
        <v>1.5</v>
      </c>
      <c r="E11" s="2">
        <v>1.026</v>
      </c>
    </row>
    <row r="12" spans="1:9" x14ac:dyDescent="0.2">
      <c r="A12" s="1" t="s">
        <v>2</v>
      </c>
      <c r="B12" s="2">
        <v>-5.0000000000000001E-3</v>
      </c>
      <c r="C12" t="s">
        <v>14</v>
      </c>
    </row>
    <row r="13" spans="1:9" x14ac:dyDescent="0.2">
      <c r="A13" s="1" t="s">
        <v>3</v>
      </c>
      <c r="B13" s="2">
        <v>-0.26700000000000002</v>
      </c>
      <c r="C13" t="s">
        <v>15</v>
      </c>
    </row>
    <row r="15" spans="1:9" x14ac:dyDescent="0.2">
      <c r="A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Interaction plot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Hayes</dc:creator>
  <cp:lastModifiedBy>Timothy Hayes</cp:lastModifiedBy>
  <dcterms:created xsi:type="dcterms:W3CDTF">2026-03-18T15:14:55Z</dcterms:created>
  <dcterms:modified xsi:type="dcterms:W3CDTF">2026-03-26T14:08:12Z</dcterms:modified>
</cp:coreProperties>
</file>