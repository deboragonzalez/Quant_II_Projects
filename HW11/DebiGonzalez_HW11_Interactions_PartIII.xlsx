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big/Documents/PhD Y1/Stats II/Quant II Projects/HW11/"/>
    </mc:Choice>
  </mc:AlternateContent>
  <xr:revisionPtr revIDLastSave="0" documentId="13_ncr:1_{A3715C23-84F0-444E-AF9D-8A2AE0CD44E6}" xr6:coauthVersionLast="47" xr6:coauthVersionMax="47" xr10:uidLastSave="{00000000-0000-0000-0000-000000000000}"/>
  <bookViews>
    <workbookView xWindow="-14100" yWindow="-18920" windowWidth="27640" windowHeight="15900" activeTab="1" xr2:uid="{0AC9B480-01D3-1145-9C44-DAE8947D009D}"/>
  </bookViews>
  <sheets>
    <sheet name="Q1C" sheetId="1" r:id="rId1"/>
    <sheet name="Q2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  <c r="E5" i="1" s="1"/>
  <c r="B4" i="1"/>
  <c r="E4" i="1" s="1"/>
  <c r="B3" i="1"/>
  <c r="D3" i="1" s="1"/>
  <c r="E3" i="1" l="1"/>
  <c r="D4" i="1"/>
  <c r="D5" i="1"/>
</calcChain>
</file>

<file path=xl/sharedStrings.xml><?xml version="1.0" encoding="utf-8"?>
<sst xmlns="http://schemas.openxmlformats.org/spreadsheetml/2006/main" count="12" uniqueCount="12">
  <si>
    <t>Estimate</t>
  </si>
  <si>
    <t>(Intercept)</t>
  </si>
  <si>
    <t>BAU</t>
  </si>
  <si>
    <t>Mindfulness</t>
  </si>
  <si>
    <t>Low Depression (-1SD)</t>
  </si>
  <si>
    <t>Mean Depression</t>
  </si>
  <si>
    <t>High Depression (+1SD)</t>
  </si>
  <si>
    <t>MindfulDummy</t>
  </si>
  <si>
    <t>Depression</t>
  </si>
  <si>
    <t>MindfulDummy:Depression</t>
  </si>
  <si>
    <t>Depression Mean</t>
  </si>
  <si>
    <t>Depression 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</si>
</sst>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Depression's Effect on Cravings is Weaker for the Mindfulness Treatment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Q1C!$C$3</c:f>
              <c:strCache>
                <c:ptCount val="1"/>
                <c:pt idx="0">
                  <c:v>Low Depression (-1SD)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Q1C!$D$2:$E$2</c:f>
              <c:strCache>
                <c:ptCount val="2"/>
                <c:pt idx="0">
                  <c:v>BAU</c:v>
                </c:pt>
                <c:pt idx="1">
                  <c:v>Mindfulness</c:v>
                </c:pt>
              </c:strCache>
            </c:strRef>
          </c:cat>
          <c:val>
            <c:numRef>
              <c:f>Q1C!$D$3:$E$3</c:f>
              <c:numCache>
                <c:formatCode>General</c:formatCode>
                <c:ptCount val="2"/>
                <c:pt idx="0">
                  <c:v>20.207492886579999</c:v>
                </c:pt>
                <c:pt idx="1">
                  <c:v>8.1943640450299995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3-0946-B126-C72D464AAAEE}"/>
            </c:ext>
          </c:extLst>
        </c:ser>
        <c:ser>
          <c:idx val="1"/>
          <c:order val="1"/>
          <c:tx>
            <c:strRef>
              <c:f>Q1C!$C$4</c:f>
              <c:strCache>
                <c:ptCount val="1"/>
                <c:pt idx="0">
                  <c:v>Mean Depression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Q1C!$D$2:$E$2</c:f>
              <c:strCache>
                <c:ptCount val="2"/>
                <c:pt idx="0">
                  <c:v>BAU</c:v>
                </c:pt>
                <c:pt idx="1">
                  <c:v>Mindfulness</c:v>
                </c:pt>
              </c:strCache>
            </c:strRef>
          </c:cat>
          <c:val>
            <c:numRef>
              <c:f>Q1C!$D$4:$E$4</c:f>
              <c:numCache>
                <c:formatCode>General</c:formatCode>
                <c:ptCount val="2"/>
                <c:pt idx="0">
                  <c:v>23.6289148</c:v>
                </c:pt>
                <c:pt idx="1">
                  <c:v>7.9946767999999988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A3-0946-B126-C72D464AAAEE}"/>
            </c:ext>
          </c:extLst>
        </c:ser>
        <c:ser>
          <c:idx val="2"/>
          <c:order val="2"/>
          <c:tx>
            <c:strRef>
              <c:f>Q1C!$C$5</c:f>
              <c:strCache>
                <c:ptCount val="1"/>
                <c:pt idx="0">
                  <c:v>High Depression (+1SD)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Q1C!$D$2:$E$2</c:f>
              <c:strCache>
                <c:ptCount val="2"/>
                <c:pt idx="0">
                  <c:v>BAU</c:v>
                </c:pt>
                <c:pt idx="1">
                  <c:v>Mindfulness</c:v>
                </c:pt>
              </c:strCache>
            </c:strRef>
          </c:cat>
          <c:val>
            <c:numRef>
              <c:f>Q1C!$D$5:$E$5</c:f>
              <c:numCache>
                <c:formatCode>General</c:formatCode>
                <c:ptCount val="2"/>
                <c:pt idx="0">
                  <c:v>27.050336713420002</c:v>
                </c:pt>
                <c:pt idx="1">
                  <c:v>7.7949895549699981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A3-0946-B126-C72D464AAA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728671"/>
        <c:axId val="2051405968"/>
      </c:lineChart>
      <c:catAx>
        <c:axId val="31372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405968"/>
        <c:crosses val="autoZero"/>
        <c:auto val="1"/>
        <c:lblAlgn val="ctr"/>
        <c:lblOffset val="100"/>
        <c:noMultiLvlLbl val="0"/>
      </c:catAx>
      <c:valAx>
        <c:axId val="205140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2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Mindfulness</a:t>
            </a:r>
            <a:r>
              <a:rPr lang="en-US" baseline="0"/>
              <a:t> Treatment is Increasingly More Effective at Reducing Cravings as Depression Increases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Q1C!$D$2</c:f>
              <c:strCache>
                <c:ptCount val="1"/>
                <c:pt idx="0">
                  <c:v>BAU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Q1C!$C$3:$C$5</c:f>
              <c:strCache>
                <c:ptCount val="3"/>
                <c:pt idx="0">
                  <c:v>Low Depression (-1SD)</c:v>
                </c:pt>
                <c:pt idx="1">
                  <c:v>Mean Depression</c:v>
                </c:pt>
                <c:pt idx="2">
                  <c:v>High Depression (+1SD)</c:v>
                </c:pt>
              </c:strCache>
            </c:strRef>
          </c:cat>
          <c:val>
            <c:numRef>
              <c:f>Q1C!$D$3:$D$5</c:f>
              <c:numCache>
                <c:formatCode>General</c:formatCode>
                <c:ptCount val="3"/>
                <c:pt idx="0">
                  <c:v>20.207492886579999</c:v>
                </c:pt>
                <c:pt idx="1">
                  <c:v>23.6289148</c:v>
                </c:pt>
                <c:pt idx="2">
                  <c:v>27.050336713420002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D5-5440-AF39-F2F0DD9EE124}"/>
            </c:ext>
          </c:extLst>
        </c:ser>
        <c:ser>
          <c:idx val="1"/>
          <c:order val="1"/>
          <c:tx>
            <c:strRef>
              <c:f>Q1C!$E$2</c:f>
              <c:strCache>
                <c:ptCount val="1"/>
                <c:pt idx="0">
                  <c:v>Mindfulness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Q1C!$C$3:$C$5</c:f>
              <c:strCache>
                <c:ptCount val="3"/>
                <c:pt idx="0">
                  <c:v>Low Depression (-1SD)</c:v>
                </c:pt>
                <c:pt idx="1">
                  <c:v>Mean Depression</c:v>
                </c:pt>
                <c:pt idx="2">
                  <c:v>High Depression (+1SD)</c:v>
                </c:pt>
              </c:strCache>
            </c:strRef>
          </c:cat>
          <c:val>
            <c:numRef>
              <c:f>Q1C!$E$3:$E$5</c:f>
              <c:numCache>
                <c:formatCode>General</c:formatCode>
                <c:ptCount val="3"/>
                <c:pt idx="0">
                  <c:v>8.1943640450299995</c:v>
                </c:pt>
                <c:pt idx="1">
                  <c:v>7.9946767999999988</c:v>
                </c:pt>
                <c:pt idx="2">
                  <c:v>7.7949895549699981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AD5-5440-AF39-F2F0DD9EE1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3728671"/>
        <c:axId val="2051405968"/>
      </c:lineChart>
      <c:catAx>
        <c:axId val="313728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405968"/>
        <c:crosses val="autoZero"/>
        <c:auto val="1"/>
        <c:lblAlgn val="ctr"/>
        <c:lblOffset val="100"/>
        <c:noMultiLvlLbl val="0"/>
      </c:catAx>
      <c:valAx>
        <c:axId val="205140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728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234950</xdr:colOff>
      <xdr:row>2</xdr:row>
      <xdr:rowOff>63500</xdr:rowOff>
    </xdr:from>
    <xdr:to>
      <xdr:col>11</xdr:col>
      <xdr:colOff>679450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1132BD-C1DD-E8EF-8905-6FD75D304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2</xdr:row>
      <xdr:rowOff>0</xdr:rowOff>
    </xdr:from>
    <xdr:to>
      <xdr:col>8</xdr:col>
      <xdr:colOff>749300</xdr:colOff>
      <xdr:row>25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F6E969-C95A-364A-BE9C-4C324062A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1BD6E-5F40-8044-AFA5-825C2E4AFD4D}">
  <dimension ref="A1:E13"/>
  <sheetViews>
    <sheetView workbookViewId="0">
      <selection activeCell="C28" sqref="C28"/>
    </sheetView>
  </sheetViews>
  <sheetFormatPr baseColWidth="10" defaultRowHeight="16" x14ac:dyDescent="0.2"/>
  <cols>
    <col min="1" max="1" width="23" customWidth="1"/>
    <col min="3" max="3" width="21.83203125" customWidth="1"/>
  </cols>
  <sheetData>
    <row r="1" spans="1:5" x14ac:dyDescent="0.2">
      <c r="D1">
        <v>0</v>
      </c>
      <c r="E1">
        <v>1</v>
      </c>
    </row>
    <row r="2" spans="1:5" x14ac:dyDescent="0.2">
      <c r="D2" t="s">
        <v>2</v>
      </c>
      <c r="E2" t="s">
        <v>3</v>
      </c>
    </row>
    <row r="3" spans="1:5" x14ac:dyDescent="0.2">
      <c r="B3">
        <f>D9-D10</f>
        <v>9.6327210000000019</v>
      </c>
      <c r="C3" t="s">
        <v>4</v>
      </c>
      <c r="D3">
        <f>$B$10+$B$11*D$1+$B$12*$B3+$B$13*D$1*$B3</f>
        <v>20.207492886579999</v>
      </c>
      <c r="E3">
        <f>$B$10+$B$11*E$1+$B$12*$B3+$B$13*E$1*$B3</f>
        <v>8.1943640450299995</v>
      </c>
    </row>
    <row r="4" spans="1:5" x14ac:dyDescent="0.2">
      <c r="B4">
        <f>D9</f>
        <v>17.760000000000002</v>
      </c>
      <c r="C4" t="s">
        <v>5</v>
      </c>
      <c r="D4">
        <f t="shared" ref="D4:E5" si="0">$B$10+$B$11*D$1+$B$12*$B4+$B$13*D$1*$B4</f>
        <v>23.6289148</v>
      </c>
      <c r="E4">
        <f t="shared" si="0"/>
        <v>7.9946767999999988</v>
      </c>
    </row>
    <row r="5" spans="1:5" x14ac:dyDescent="0.2">
      <c r="B5">
        <f>D9+D10</f>
        <v>25.887278999999999</v>
      </c>
      <c r="C5" t="s">
        <v>6</v>
      </c>
      <c r="D5">
        <f t="shared" si="0"/>
        <v>27.050336713420002</v>
      </c>
      <c r="E5">
        <f t="shared" si="0"/>
        <v>7.7949895549699981</v>
      </c>
    </row>
    <row r="9" spans="1:5" x14ac:dyDescent="0.2">
      <c r="B9" t="s">
        <v>0</v>
      </c>
      <c r="C9" t="s">
        <v>10</v>
      </c>
      <c r="D9">
        <v>17.760000000000002</v>
      </c>
    </row>
    <row r="10" spans="1:5" x14ac:dyDescent="0.2">
      <c r="A10" t="s">
        <v>1</v>
      </c>
      <c r="B10">
        <v>16.15231</v>
      </c>
      <c r="C10" t="s">
        <v>11</v>
      </c>
      <c r="D10">
        <v>8.1272789999999997</v>
      </c>
    </row>
    <row r="11" spans="1:5" x14ac:dyDescent="0.2">
      <c r="A11" t="s">
        <v>7</v>
      </c>
      <c r="B11">
        <v>-7.7212699999999996</v>
      </c>
    </row>
    <row r="12" spans="1:5" x14ac:dyDescent="0.2">
      <c r="A12" t="s">
        <v>8</v>
      </c>
      <c r="B12">
        <v>0.42098000000000002</v>
      </c>
      <c r="E12" s="1"/>
    </row>
    <row r="13" spans="1:5" x14ac:dyDescent="0.2">
      <c r="A13" t="s">
        <v>9</v>
      </c>
      <c r="B13">
        <v>-0.44555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511F4-B736-D143-AABD-250886C96A77}">
  <dimension ref="A1"/>
  <sheetViews>
    <sheetView tabSelected="1" workbookViewId="0">
      <selection activeCell="S25" sqref="S2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Q1C</vt:lpstr>
      <vt:lpstr>Q2E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Debi Gonzalez</dc:creator>
  <cp:lastModifiedBy>Debi Gonzalez</cp:lastModifiedBy>
  <dcterms:created xsi:type="dcterms:W3CDTF">2026-04-10T00:32:14Z</dcterms:created>
  <dcterms:modified xsi:type="dcterms:W3CDTF">2026-04-10T01:15:16Z</dcterms:modified>
</cp:coreProperties>
</file>